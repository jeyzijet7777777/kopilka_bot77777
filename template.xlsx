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Бюдже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<sst xmlns="http://schemas.openxmlformats.org/spreadsheetml/2006/main" count="55" uniqueCount="53">
  <si>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 xml:space="preserve">Бюджет на месяц</t>
  </si>
  <si>
    <t xml:space="preserve">Заполняйте жёлтые ячейки с синим шрифтом, остальное считается само. Суммы — пример, замените на свои.</t>
  </si>
  <si>
    <t xml:space="preserve">Месяц (1-е число)</t>
  </si>
  <si>
    <t xml:space="preserve">Траты по дням</t>
  </si>
  <si>
    <t xml:space="preserve">Доход за месяц</t>
  </si>
  <si>
    <t xml:space="preserve">День</t>
  </si>
  <si>
    <t xml:space="preserve">Дата</t>
  </si>
  <si>
    <t xml:space="preserve">Лимит на день, ₽</t>
  </si>
  <si>
    <t xml:space="preserve">Потрачено, ₽</t>
  </si>
  <si>
    <t xml:space="preserve">На что потратил</t>
  </si>
  <si>
    <t xml:space="preserve">Остаток дня → в накопления, ₽</t>
  </si>
  <si>
    <t xml:space="preserve">Накоплено всего (нарастающим), ₽</t>
  </si>
  <si>
    <t xml:space="preserve">Потрачено нарастающим, ₽</t>
  </si>
  <si>
    <t xml:space="preserve">Бюджет на день (динамический), ₽</t>
  </si>
  <si>
    <t xml:space="preserve">Продукты, такси</t>
  </si>
  <si>
    <t xml:space="preserve">Обязательные расходы</t>
  </si>
  <si>
    <t xml:space="preserve">Сумма, ₽</t>
  </si>
  <si>
    <t xml:space="preserve">Обед, кофе</t>
  </si>
  <si>
    <t xml:space="preserve">Аренда / ипотека</t>
  </si>
  <si>
    <t xml:space="preserve">Продукты</t>
  </si>
  <si>
    <t xml:space="preserve">Коммунальные услуги</t>
  </si>
  <si>
    <t xml:space="preserve">Кафе, аптека</t>
  </si>
  <si>
    <t xml:space="preserve">Связь и интернет</t>
  </si>
  <si>
    <t xml:space="preserve">Одежда</t>
  </si>
  <si>
    <t xml:space="preserve">Кредиты и долги</t>
  </si>
  <si>
    <t xml:space="preserve">Транспорт, обед</t>
  </si>
  <si>
    <t xml:space="preserve">Страховки и медицина</t>
  </si>
  <si>
    <t xml:space="preserve">Налоги и сборы</t>
  </si>
  <si>
    <t xml:space="preserve">Кино, ужин</t>
  </si>
  <si>
    <t xml:space="preserve">Транспорт (проездной)</t>
  </si>
  <si>
    <t xml:space="preserve">Итого обязательные</t>
  </si>
  <si>
    <t xml:space="preserve">Откладываю заранее (в начале месяца)</t>
  </si>
  <si>
    <t xml:space="preserve">Остаётся на ежедневные траты</t>
  </si>
  <si>
    <t xml:space="preserve">Дней в месяце</t>
  </si>
  <si>
    <t xml:space="preserve">Лимит на день</t>
  </si>
  <si>
    <t xml:space="preserve">Итоги месяца</t>
  </si>
  <si>
    <t xml:space="preserve">Потрачено на ежедневное</t>
  </si>
  <si>
    <t xml:space="preserve">Дней уже внесено</t>
  </si>
  <si>
    <t xml:space="preserve">Накоплено из остатков дней</t>
  </si>
  <si>
    <t xml:space="preserve">ВСЕГО НАКОПЛЕНО</t>
  </si>
  <si>
    <t xml:space="preserve">Накопления / доход</t>
  </si>
  <si>
    <t xml:space="preserve">Как это работает</t>
  </si>
  <si>
    <t xml:space="preserve">Лимит на день = (доход − обязательные − накопления) / дней в месяце.</t>
  </si>
  <si>
    <t xml:space="preserve">Каждый день впишите, сколько потратили (если ничего — 0).</t>
  </si>
  <si>
    <t xml:space="preserve">Не потратили весь лимит — остаток дня уходит в накопления.</t>
  </si>
  <si>
    <t xml:space="preserve">Потратили больше лимита — разница вычитается из накоплений.</t>
  </si>
  <si>
    <t xml:space="preserve">ИТОГО</t>
  </si>
  <si>
    <t xml:space="preserve">Пустая ячейка = день ещё не наступил, в накопления не идёт.</t>
  </si>
  <si>
    <t xml:space="preserve">Динамич. бюджет = остаток на траты / оставшиеся дни.</t>
  </si>
  <si>
    <t xml:space="preserve">Распределение дохода</t>
  </si>
  <si>
    <t xml:space="preserve">₽</t>
  </si>
  <si>
    <t xml:space="preserve">Накопления заранее</t>
  </si>
  <si>
    <t xml:space="preserve">На ежедневные траты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</si>
</sst>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#,##0&quot; ₽&quot;;\-#,##0&quot; ₽&quot;;0&quot; ₽&quot;"/>
    <numFmt numFmtId="167" formatCode="0"/>
    <numFmt numFmtId="168" formatCode="0.0%"/>
    <numFmt numFmtId="169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BFBFBF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78787"/>
      <rgbColor rgb="FF5B9BD5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Траты по дням и лимит на день,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Бюджет!G5</c:f>
              <c:strCache>
                <c:ptCount val="1"/>
                <c:pt idx="0">
                  <c:v>Потрачено, ₽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Бюджет!$D$6:$D$36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Бюджет!$G$6:$G$36</c:f>
              <c:numCache>
                <c:formatCode>#,##0" ₽";\-#,##0" ₽";0" ₽"</c:formatCode>
                <c:ptCount val="31"/>
                <c:pt idx="0">
                  <c:v>2400</c:v>
                </c:pt>
                <c:pt idx="1">
                  <c:v>1500</c:v>
                </c:pt>
                <c:pt idx="2">
                  <c:v>2100</c:v>
                </c:pt>
                <c:pt idx="3">
                  <c:v>1800</c:v>
                </c:pt>
                <c:pt idx="4">
                  <c:v>2900</c:v>
                </c:pt>
                <c:pt idx="5">
                  <c:v>1200</c:v>
                </c:pt>
                <c:pt idx="6">
                  <c:v>1950</c:v>
                </c:pt>
                <c:pt idx="7">
                  <c:v>2600</c:v>
                </c:pt>
              </c:numCache>
            </c:numRef>
          </c:val>
        </c:ser>
        <c:gapWidth val="150"/>
        <c:overlap val="0"/>
        <c:axId val="86523165"/>
        <c:axId val="89770359"/>
      </c:barChart>
      <c:lineChart>
        <c:grouping val="standard"/>
        <c:varyColors val="0"/>
        <c:ser>
          <c:idx val="1"/>
          <c:order val="1"/>
          <c:tx>
            <c:strRef>
              <c:f>Бюджет!F5</c:f>
              <c:strCache>
                <c:ptCount val="1"/>
                <c:pt idx="0">
                  <c:v>Лимит на день, ₽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Бюджет!$D$6:$D$36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Бюджет!$F$6:$F$36</c:f>
              <c:numCache>
                <c:formatCode>#,##0" ₽";\-#,##0" ₽";0" ₽"</c:formatCode>
                <c:ptCount val="31"/>
                <c:pt idx="0">
                  <c:v>1950</c:v>
                </c:pt>
                <c:pt idx="1">
                  <c:v>1950</c:v>
                </c:pt>
                <c:pt idx="2">
                  <c:v>1950</c:v>
                </c:pt>
                <c:pt idx="3">
                  <c:v>1950</c:v>
                </c:pt>
                <c:pt idx="4">
                  <c:v>1950</c:v>
                </c:pt>
                <c:pt idx="5">
                  <c:v>1950</c:v>
                </c:pt>
                <c:pt idx="6">
                  <c:v>1950</c:v>
                </c:pt>
                <c:pt idx="7">
                  <c:v>1950</c:v>
                </c:pt>
                <c:pt idx="8">
                  <c:v>1950</c:v>
                </c:pt>
                <c:pt idx="9">
                  <c:v>1950</c:v>
                </c:pt>
                <c:pt idx="10">
                  <c:v>1950</c:v>
                </c:pt>
                <c:pt idx="11">
                  <c:v>1950</c:v>
                </c:pt>
                <c:pt idx="12">
                  <c:v>1950</c:v>
                </c:pt>
                <c:pt idx="13">
                  <c:v>1950</c:v>
                </c:pt>
                <c:pt idx="14">
                  <c:v>1950</c:v>
                </c:pt>
                <c:pt idx="15">
                  <c:v>1950</c:v>
                </c:pt>
                <c:pt idx="16">
                  <c:v>1950</c:v>
                </c:pt>
                <c:pt idx="17">
                  <c:v>1950</c:v>
                </c:pt>
                <c:pt idx="18">
                  <c:v>1950</c:v>
                </c:pt>
                <c:pt idx="19">
                  <c:v>1950</c:v>
                </c:pt>
                <c:pt idx="20">
                  <c:v>1950</c:v>
                </c:pt>
                <c:pt idx="21">
                  <c:v>1950</c:v>
                </c:pt>
                <c:pt idx="22">
                  <c:v>1950</c:v>
                </c:pt>
                <c:pt idx="23">
                  <c:v>1950</c:v>
                </c:pt>
                <c:pt idx="24">
                  <c:v>1950</c:v>
                </c:pt>
                <c:pt idx="25">
                  <c:v>1950</c:v>
                </c:pt>
                <c:pt idx="26">
                  <c:v>1950</c:v>
                </c:pt>
                <c:pt idx="27">
                  <c:v>1950</c:v>
                </c:pt>
                <c:pt idx="28">
                  <c:v>1950</c:v>
                </c:pt>
                <c:pt idx="29">
                  <c:v>1950</c:v>
                </c:pt>
                <c:pt idx="30">
                  <c:v>1950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523165"/>
        <c:axId val="89770359"/>
      </c:lineChart>
      <c:catAx>
        <c:axId val="865231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День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70359"/>
        <c:crosses val="autoZero"/>
        <c:auto val="1"/>
        <c:lblAlgn val="ctr"/>
        <c:lblOffset val="100"/>
        <c:noMultiLvlLbl val="0"/>
      </c:catAx>
      <c:valAx>
        <c:axId val="89770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23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Накопления за месяц,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Бюджет!J5</c:f>
              <c:strCache>
                <c:ptCount val="1"/>
                <c:pt idx="0">
                  <c:v>Накоплено всего (нарастающим), ₽</c:v>
                </c:pt>
              </c:strCache>
            </c:strRef>
          </c:tx>
          <c:spPr>
            <a:solidFill>
              <a:srgbClr val="548235"/>
            </a:solidFill>
            <a:ln w="28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Бюджет!$D$6:$D$36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Бюджет!$J$6:$J$36</c:f>
              <c:numCache>
                <c:formatCode>#,##0" ₽";\-#,##0" ₽";0" ₽"</c:formatCode>
                <c:ptCount val="31"/>
                <c:pt idx="0">
                  <c:v>14550</c:v>
                </c:pt>
                <c:pt idx="1">
                  <c:v>15000</c:v>
                </c:pt>
                <c:pt idx="2">
                  <c:v>14850</c:v>
                </c:pt>
                <c:pt idx="3">
                  <c:v>15000</c:v>
                </c:pt>
                <c:pt idx="4">
                  <c:v>14050</c:v>
                </c:pt>
                <c:pt idx="5">
                  <c:v>14800</c:v>
                </c:pt>
                <c:pt idx="6">
                  <c:v>14800</c:v>
                </c:pt>
                <c:pt idx="7">
                  <c:v>14150</c:v>
                </c:pt>
                <c:pt idx="8">
                  <c:v>14150</c:v>
                </c:pt>
                <c:pt idx="9">
                  <c:v>14150</c:v>
                </c:pt>
                <c:pt idx="10">
                  <c:v>14150</c:v>
                </c:pt>
                <c:pt idx="11">
                  <c:v>14150</c:v>
                </c:pt>
                <c:pt idx="12">
                  <c:v>14150</c:v>
                </c:pt>
                <c:pt idx="13">
                  <c:v>14150</c:v>
                </c:pt>
                <c:pt idx="14">
                  <c:v>14150</c:v>
                </c:pt>
                <c:pt idx="15">
                  <c:v>14150</c:v>
                </c:pt>
                <c:pt idx="16">
                  <c:v>14150</c:v>
                </c:pt>
                <c:pt idx="17">
                  <c:v>14150</c:v>
                </c:pt>
                <c:pt idx="18">
                  <c:v>14150</c:v>
                </c:pt>
                <c:pt idx="19">
                  <c:v>14150</c:v>
                </c:pt>
                <c:pt idx="20">
                  <c:v>14150</c:v>
                </c:pt>
                <c:pt idx="21">
                  <c:v>14150</c:v>
                </c:pt>
                <c:pt idx="22">
                  <c:v>14150</c:v>
                </c:pt>
                <c:pt idx="23">
                  <c:v>14150</c:v>
                </c:pt>
                <c:pt idx="24">
                  <c:v>14150</c:v>
                </c:pt>
                <c:pt idx="25">
                  <c:v>14150</c:v>
                </c:pt>
                <c:pt idx="26">
                  <c:v>14150</c:v>
                </c:pt>
                <c:pt idx="27">
                  <c:v>14150</c:v>
                </c:pt>
                <c:pt idx="28">
                  <c:v>14150</c:v>
                </c:pt>
                <c:pt idx="29">
                  <c:v>14150</c:v>
                </c:pt>
                <c:pt idx="30">
                  <c:v>14150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043359"/>
        <c:axId val="65886241"/>
      </c:lineChart>
      <c:catAx>
        <c:axId val="67043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День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86241"/>
        <c:crosses val="autoZero"/>
        <c:auto val="1"/>
        <c:lblAlgn val="ctr"/>
        <c:lblOffset val="100"/>
        <c:noMultiLvlLbl val="0"/>
      </c:catAx>
      <c:valAx>
        <c:axId val="65886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433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Куда идёт доход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Бюджет!$A$41:$A$43</c:f>
              <c:strCache>
                <c:ptCount val="3"/>
                <c:pt idx="0">
                  <c:v>Обязательные расходы</c:v>
                </c:pt>
                <c:pt idx="1">
                  <c:v>Накопления заранее</c:v>
                </c:pt>
                <c:pt idx="2">
                  <c:v>На ежедневные траты</c:v>
                </c:pt>
              </c:strCache>
            </c:strRef>
          </c:cat>
          <c:val>
            <c:numRef>
              <c:f>Бюджет!$B$41:$B$43</c:f>
              <c:numCache>
                <c:formatCode>#,##0" ₽";\-#,##0" ₽";0" ₽"</c:formatCode>
                <c:ptCount val="3"/>
                <c:pt idx="0">
                  <c:v>61500</c:v>
                </c:pt>
                <c:pt idx="1">
                  <c:v>15000</c:v>
                </c:pt>
                <c:pt idx="2">
                  <c:v>58500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131040</xdr:rowOff>
    </xdr:from>
    <xdr:to>
      <xdr:col>24</xdr:col>
      <xdr:colOff>473040</xdr:colOff>
      <xdr:row>17</xdr:row>
      <xdr:rowOff>122760</xdr:rowOff>
    </xdr:to>
    <xdr:graphicFrame>
      <xdr:nvGraphicFramePr>
        <xdr:cNvPr id="0" name="Chart 1"/>
        <xdr:cNvGraphicFramePr/>
      </xdr:nvGraphicFramePr>
      <xdr:xfrm>
        <a:off x="1562472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130680</xdr:rowOff>
    </xdr:from>
    <xdr:to>
      <xdr:col>24</xdr:col>
      <xdr:colOff>473040</xdr:colOff>
      <xdr:row>38</xdr:row>
      <xdr:rowOff>131760</xdr:rowOff>
    </xdr:to>
    <xdr:graphicFrame>
      <xdr:nvGraphicFramePr>
        <xdr:cNvPr id="1" name="Chart 2"/>
        <xdr:cNvGraphicFramePr/>
      </xdr:nvGraphicFramePr>
      <xdr:xfrm>
        <a:off x="15624720" y="45813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0</xdr:colOff>
      <xdr:row>2</xdr:row>
      <xdr:rowOff>131040</xdr:rowOff>
    </xdr:from>
    <xdr:to>
      <xdr:col>30</xdr:col>
      <xdr:colOff>399240</xdr:colOff>
      <xdr:row>17</xdr:row>
      <xdr:rowOff>122760</xdr:rowOff>
    </xdr:to>
    <xdr:graphicFrame>
      <xdr:nvGraphicFramePr>
        <xdr:cNvPr id="2" name="Chart 3"/>
        <xdr:cNvGraphicFramePr/>
      </xdr:nvGraphicFramePr>
      <xdr:xfrm>
        <a:off x="21740040" y="5716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26"/>
    <col collapsed="false" customWidth="true" hidden="false" outlineLevel="0" max="10" min="9" style="0" width="20"/>
    <col collapsed="false" customWidth="true" hidden="false" outlineLevel="0" max="11" min="11" style="0" width="18"/>
    <col collapsed="false" customWidth="true" hidden="false" outlineLevel="0" max="12" min="12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46327</v>
      </c>
      <c r="D4" s="5" t="s">
        <v>3</v>
      </c>
    </row>
    <row r="5" customFormat="false" ht="45.75" hidden="false" customHeight="true" outlineLevel="0" collapsed="false">
      <c r="A5" s="3" t="s">
        <v>4</v>
      </c>
      <c r="B5" s="6" t="n">
        <v>135000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</row>
    <row r="6" customFormat="false" ht="15" hidden="false" customHeight="false" outlineLevel="0" collapsed="false">
      <c r="D6" s="8" t="n">
        <v>1</v>
      </c>
      <c r="E6" s="9" t="n">
        <f aca="false">IF(D6&lt;=$B$23,$B$4+D6-1,"")</f>
        <v>46327</v>
      </c>
      <c r="F6" s="10" t="n">
        <f aca="false">$B$24</f>
        <v>1950</v>
      </c>
      <c r="G6" s="6" t="n">
        <v>2400</v>
      </c>
      <c r="H6" s="11" t="s">
        <v>14</v>
      </c>
      <c r="I6" s="12" t="n">
        <f aca="false">IF(OR(E6="",G6=""),"",F6-G6)</f>
        <v>-450</v>
      </c>
      <c r="J6" s="10" t="n">
        <f aca="false">$B$20+SUM($I$6:I6)</f>
        <v>14550</v>
      </c>
      <c r="K6" s="10" t="n">
        <f aca="false">SUM($G$6:G6)</f>
        <v>2400</v>
      </c>
      <c r="L6" s="13" t="n">
        <f aca="false">IF(E6="","",IF(OR(D6=1,G6&lt;&gt;"",G5&lt;&gt;""),($B$22-SUM($G$5:G5))/($B$23-D6+1),""))</f>
        <v>1950</v>
      </c>
    </row>
    <row r="7" customFormat="false" ht="15" hidden="false" customHeight="false" outlineLevel="0" collapsed="false">
      <c r="A7" s="14" t="s">
        <v>15</v>
      </c>
      <c r="B7" s="7" t="s">
        <v>16</v>
      </c>
      <c r="D7" s="8" t="n">
        <v>2</v>
      </c>
      <c r="E7" s="9" t="n">
        <f aca="false">IF(D7&lt;=$B$23,$B$4+D7-1,"")</f>
        <v>46328</v>
      </c>
      <c r="F7" s="10" t="n">
        <f aca="false">$B$24</f>
        <v>1950</v>
      </c>
      <c r="G7" s="6" t="n">
        <v>1500</v>
      </c>
      <c r="H7" s="11" t="s">
        <v>17</v>
      </c>
      <c r="I7" s="12" t="n">
        <f aca="false">IF(OR(E7="",G7=""),"",F7-G7)</f>
        <v>450</v>
      </c>
      <c r="J7" s="10" t="n">
        <f aca="false">$B$20+SUM($I$6:I7)</f>
        <v>15000</v>
      </c>
      <c r="K7" s="10" t="n">
        <f aca="false">SUM($G$6:G7)</f>
        <v>3900</v>
      </c>
      <c r="L7" s="13" t="n">
        <f aca="false">IF(E7="","",IF(OR(D7=1,G7&lt;&gt;"",G6&lt;&gt;""),($B$22-SUM($G$5:G6))/($B$23-D7+1),""))</f>
        <v>1934.48275862069</v>
      </c>
    </row>
    <row r="8" customFormat="false" ht="15" hidden="false" customHeight="false" outlineLevel="0" collapsed="false">
      <c r="A8" s="15" t="s">
        <v>18</v>
      </c>
      <c r="B8" s="6" t="n">
        <v>35000</v>
      </c>
      <c r="D8" s="8" t="n">
        <v>3</v>
      </c>
      <c r="E8" s="9" t="n">
        <f aca="false">IF(D8&lt;=$B$23,$B$4+D8-1,"")</f>
        <v>46329</v>
      </c>
      <c r="F8" s="10" t="n">
        <f aca="false">$B$24</f>
        <v>1950</v>
      </c>
      <c r="G8" s="6" t="n">
        <v>2100</v>
      </c>
      <c r="H8" s="11" t="s">
        <v>19</v>
      </c>
      <c r="I8" s="12" t="n">
        <f aca="false">IF(OR(E8="",G8=""),"",F8-G8)</f>
        <v>-150</v>
      </c>
      <c r="J8" s="10" t="n">
        <f aca="false">$B$20+SUM($I$6:I8)</f>
        <v>14850</v>
      </c>
      <c r="K8" s="10" t="n">
        <f aca="false">SUM($G$6:G8)</f>
        <v>6000</v>
      </c>
      <c r="L8" s="13" t="n">
        <f aca="false">IF(E8="","",IF(OR(D8=1,G8&lt;&gt;"",G7&lt;&gt;""),($B$22-SUM($G$5:G7))/($B$23-D8+1),""))</f>
        <v>1950</v>
      </c>
    </row>
    <row r="9" customFormat="false" ht="15" hidden="false" customHeight="false" outlineLevel="0" collapsed="false">
      <c r="A9" s="15" t="s">
        <v>20</v>
      </c>
      <c r="B9" s="6" t="n">
        <v>6000</v>
      </c>
      <c r="D9" s="8" t="n">
        <v>4</v>
      </c>
      <c r="E9" s="9" t="n">
        <f aca="false">IF(D9&lt;=$B$23,$B$4+D9-1,"")</f>
        <v>46330</v>
      </c>
      <c r="F9" s="10" t="n">
        <f aca="false">$B$24</f>
        <v>1950</v>
      </c>
      <c r="G9" s="6" t="n">
        <v>1800</v>
      </c>
      <c r="H9" s="11" t="s">
        <v>21</v>
      </c>
      <c r="I9" s="12" t="n">
        <f aca="false">IF(OR(E9="",G9=""),"",F9-G9)</f>
        <v>150</v>
      </c>
      <c r="J9" s="10" t="n">
        <f aca="false">$B$20+SUM($I$6:I9)</f>
        <v>15000</v>
      </c>
      <c r="K9" s="10" t="n">
        <f aca="false">SUM($G$6:G9)</f>
        <v>7800</v>
      </c>
      <c r="L9" s="13" t="n">
        <f aca="false">IF(E9="","",IF(OR(D9=1,G9&lt;&gt;"",G8&lt;&gt;""),($B$22-SUM($G$5:G8))/($B$23-D9+1),""))</f>
        <v>1944.44444444444</v>
      </c>
    </row>
    <row r="10" customFormat="false" ht="15" hidden="false" customHeight="false" outlineLevel="0" collapsed="false">
      <c r="A10" s="15" t="s">
        <v>22</v>
      </c>
      <c r="B10" s="6" t="n">
        <v>1500</v>
      </c>
      <c r="D10" s="8" t="n">
        <v>5</v>
      </c>
      <c r="E10" s="9" t="n">
        <f aca="false">IF(D10&lt;=$B$23,$B$4+D10-1,"")</f>
        <v>46331</v>
      </c>
      <c r="F10" s="10" t="n">
        <f aca="false">$B$24</f>
        <v>1950</v>
      </c>
      <c r="G10" s="6" t="n">
        <v>2900</v>
      </c>
      <c r="H10" s="11" t="s">
        <v>23</v>
      </c>
      <c r="I10" s="12" t="n">
        <f aca="false">IF(OR(E10="",G10=""),"",F10-G10)</f>
        <v>-950</v>
      </c>
      <c r="J10" s="10" t="n">
        <f aca="false">$B$20+SUM($I$6:I10)</f>
        <v>14050</v>
      </c>
      <c r="K10" s="10" t="n">
        <f aca="false">SUM($G$6:G10)</f>
        <v>10700</v>
      </c>
      <c r="L10" s="13" t="n">
        <f aca="false">IF(E10="","",IF(OR(D10=1,G10&lt;&gt;"",G9&lt;&gt;""),($B$22-SUM($G$5:G9))/($B$23-D10+1),""))</f>
        <v>1950</v>
      </c>
    </row>
    <row r="11" customFormat="false" ht="15" hidden="false" customHeight="false" outlineLevel="0" collapsed="false">
      <c r="A11" s="15" t="s">
        <v>24</v>
      </c>
      <c r="B11" s="6" t="n">
        <v>10000</v>
      </c>
      <c r="D11" s="8" t="n">
        <v>6</v>
      </c>
      <c r="E11" s="9" t="n">
        <f aca="false">IF(D11&lt;=$B$23,$B$4+D11-1,"")</f>
        <v>46332</v>
      </c>
      <c r="F11" s="10" t="n">
        <f aca="false">$B$24</f>
        <v>1950</v>
      </c>
      <c r="G11" s="6" t="n">
        <v>1200</v>
      </c>
      <c r="H11" s="11" t="s">
        <v>25</v>
      </c>
      <c r="I11" s="12" t="n">
        <f aca="false">IF(OR(E11="",G11=""),"",F11-G11)</f>
        <v>750</v>
      </c>
      <c r="J11" s="10" t="n">
        <f aca="false">$B$20+SUM($I$6:I11)</f>
        <v>14800</v>
      </c>
      <c r="K11" s="10" t="n">
        <f aca="false">SUM($G$6:G11)</f>
        <v>11900</v>
      </c>
      <c r="L11" s="13" t="n">
        <f aca="false">IF(E11="","",IF(OR(D11=1,G11&lt;&gt;"",G10&lt;&gt;""),($B$22-SUM($G$5:G10))/($B$23-D11+1),""))</f>
        <v>1912</v>
      </c>
    </row>
    <row r="12" customFormat="false" ht="15" hidden="false" customHeight="false" outlineLevel="0" collapsed="false">
      <c r="A12" s="15" t="s">
        <v>26</v>
      </c>
      <c r="B12" s="6" t="n">
        <v>3000</v>
      </c>
      <c r="D12" s="8" t="n">
        <v>7</v>
      </c>
      <c r="E12" s="9" t="n">
        <f aca="false">IF(D12&lt;=$B$23,$B$4+D12-1,"")</f>
        <v>46333</v>
      </c>
      <c r="F12" s="10" t="n">
        <f aca="false">$B$24</f>
        <v>1950</v>
      </c>
      <c r="G12" s="6" t="n">
        <v>1950</v>
      </c>
      <c r="H12" s="11" t="s">
        <v>19</v>
      </c>
      <c r="I12" s="12" t="n">
        <f aca="false">IF(OR(E12="",G12=""),"",F12-G12)</f>
        <v>0</v>
      </c>
      <c r="J12" s="10" t="n">
        <f aca="false">$B$20+SUM($I$6:I12)</f>
        <v>14800</v>
      </c>
      <c r="K12" s="10" t="n">
        <f aca="false">SUM($G$6:G12)</f>
        <v>13850</v>
      </c>
      <c r="L12" s="13" t="n">
        <f aca="false">IF(E12="","",IF(OR(D12=1,G12&lt;&gt;"",G11&lt;&gt;""),($B$22-SUM($G$5:G11))/($B$23-D12+1),""))</f>
        <v>1941.66666666667</v>
      </c>
    </row>
    <row r="13" customFormat="false" ht="15" hidden="false" customHeight="false" outlineLevel="0" collapsed="false">
      <c r="A13" s="15" t="s">
        <v>27</v>
      </c>
      <c r="B13" s="6" t="n">
        <v>2000</v>
      </c>
      <c r="D13" s="8" t="n">
        <v>8</v>
      </c>
      <c r="E13" s="9" t="n">
        <f aca="false">IF(D13&lt;=$B$23,$B$4+D13-1,"")</f>
        <v>46334</v>
      </c>
      <c r="F13" s="10" t="n">
        <f aca="false">$B$24</f>
        <v>1950</v>
      </c>
      <c r="G13" s="6" t="n">
        <v>2600</v>
      </c>
      <c r="H13" s="11" t="s">
        <v>28</v>
      </c>
      <c r="I13" s="12" t="n">
        <f aca="false">IF(OR(E13="",G13=""),"",F13-G13)</f>
        <v>-650</v>
      </c>
      <c r="J13" s="10" t="n">
        <f aca="false">$B$20+SUM($I$6:I13)</f>
        <v>14150</v>
      </c>
      <c r="K13" s="10" t="n">
        <f aca="false">SUM($G$6:G13)</f>
        <v>16450</v>
      </c>
      <c r="L13" s="13" t="n">
        <f aca="false">IF(E13="","",IF(OR(D13=1,G13&lt;&gt;"",G12&lt;&gt;""),($B$22-SUM($G$5:G12))/($B$23-D13+1),""))</f>
        <v>1941.30434782609</v>
      </c>
    </row>
    <row r="14" customFormat="false" ht="15" hidden="false" customHeight="false" outlineLevel="0" collapsed="false">
      <c r="A14" s="15" t="s">
        <v>29</v>
      </c>
      <c r="B14" s="6" t="n">
        <v>4000</v>
      </c>
      <c r="D14" s="8" t="n">
        <v>9</v>
      </c>
      <c r="E14" s="9" t="n">
        <f aca="false">IF(D14&lt;=$B$23,$B$4+D14-1,"")</f>
        <v>46335</v>
      </c>
      <c r="F14" s="10" t="n">
        <f aca="false">$B$24</f>
        <v>1950</v>
      </c>
      <c r="G14" s="6"/>
      <c r="H14" s="11"/>
      <c r="I14" s="12" t="str">
        <f aca="false">IF(OR(E14="",G14=""),"",F14-G14)</f>
        <v/>
      </c>
      <c r="J14" s="10" t="n">
        <f aca="false">$B$20+SUM($I$6:I14)</f>
        <v>14150</v>
      </c>
      <c r="K14" s="10" t="n">
        <f aca="false">SUM($G$6:G14)</f>
        <v>16450</v>
      </c>
      <c r="L14" s="13" t="n">
        <f aca="false">IF(E14="","",IF(OR(D14=1,G14&lt;&gt;"",G13&lt;&gt;""),($B$22-SUM($G$5:G13))/($B$23-D14+1),""))</f>
        <v>1911.36363636364</v>
      </c>
    </row>
    <row r="15" customFormat="false" ht="15" hidden="false" customHeight="false" outlineLevel="0" collapsed="false">
      <c r="A15" s="15"/>
      <c r="B15" s="6"/>
      <c r="D15" s="8" t="n">
        <v>10</v>
      </c>
      <c r="E15" s="9" t="n">
        <f aca="false">IF(D15&lt;=$B$23,$B$4+D15-1,"")</f>
        <v>46336</v>
      </c>
      <c r="F15" s="10" t="n">
        <f aca="false">$B$24</f>
        <v>1950</v>
      </c>
      <c r="G15" s="6"/>
      <c r="H15" s="11"/>
      <c r="I15" s="12" t="str">
        <f aca="false">IF(OR(E15="",G15=""),"",F15-G15)</f>
        <v/>
      </c>
      <c r="J15" s="10" t="n">
        <f aca="false">$B$20+SUM($I$6:I15)</f>
        <v>14150</v>
      </c>
      <c r="K15" s="10" t="n">
        <f aca="false">SUM($G$6:G15)</f>
        <v>16450</v>
      </c>
      <c r="L15" s="13" t="str">
        <f aca="false">IF(E15="","",IF(OR(D15=1,G15&lt;&gt;"",G14&lt;&gt;""),($B$22-SUM($G$5:G14))/($B$23-D15+1),""))</f>
        <v/>
      </c>
    </row>
    <row r="16" customFormat="false" ht="15" hidden="false" customHeight="false" outlineLevel="0" collapsed="false">
      <c r="A16" s="15"/>
      <c r="B16" s="6"/>
      <c r="D16" s="8" t="n">
        <v>11</v>
      </c>
      <c r="E16" s="9" t="n">
        <f aca="false">IF(D16&lt;=$B$23,$B$4+D16-1,"")</f>
        <v>46337</v>
      </c>
      <c r="F16" s="10" t="n">
        <f aca="false">$B$24</f>
        <v>1950</v>
      </c>
      <c r="G16" s="6"/>
      <c r="H16" s="11"/>
      <c r="I16" s="12" t="str">
        <f aca="false">IF(OR(E16="",G16=""),"",F16-G16)</f>
        <v/>
      </c>
      <c r="J16" s="10" t="n">
        <f aca="false">$B$20+SUM($I$6:I16)</f>
        <v>14150</v>
      </c>
      <c r="K16" s="10" t="n">
        <f aca="false">SUM($G$6:G16)</f>
        <v>16450</v>
      </c>
      <c r="L16" s="13" t="str">
        <f aca="false">IF(E16="","",IF(OR(D16=1,G16&lt;&gt;"",G15&lt;&gt;""),($B$22-SUM($G$5:G15))/($B$23-D16+1),""))</f>
        <v/>
      </c>
    </row>
    <row r="17" customFormat="false" ht="15" hidden="false" customHeight="false" outlineLevel="0" collapsed="false">
      <c r="A17" s="15"/>
      <c r="B17" s="6"/>
      <c r="D17" s="8" t="n">
        <v>12</v>
      </c>
      <c r="E17" s="9" t="n">
        <f aca="false">IF(D17&lt;=$B$23,$B$4+D17-1,"")</f>
        <v>46338</v>
      </c>
      <c r="F17" s="10" t="n">
        <f aca="false">$B$24</f>
        <v>1950</v>
      </c>
      <c r="G17" s="6"/>
      <c r="H17" s="11"/>
      <c r="I17" s="12" t="str">
        <f aca="false">IF(OR(E17="",G17=""),"",F17-G17)</f>
        <v/>
      </c>
      <c r="J17" s="10" t="n">
        <f aca="false">$B$20+SUM($I$6:I17)</f>
        <v>14150</v>
      </c>
      <c r="K17" s="10" t="n">
        <f aca="false">SUM($G$6:G17)</f>
        <v>16450</v>
      </c>
      <c r="L17" s="13" t="str">
        <f aca="false">IF(E17="","",IF(OR(D17=1,G17&lt;&gt;"",G16&lt;&gt;""),($B$22-SUM($G$5:G16))/($B$23-D17+1),""))</f>
        <v/>
      </c>
    </row>
    <row r="18" customFormat="false" ht="15" hidden="false" customHeight="false" outlineLevel="0" collapsed="false">
      <c r="A18" s="16" t="s">
        <v>30</v>
      </c>
      <c r="B18" s="17" t="n">
        <f aca="false">SUM(B8:B17)</f>
        <v>61500</v>
      </c>
      <c r="D18" s="8" t="n">
        <v>13</v>
      </c>
      <c r="E18" s="9" t="n">
        <f aca="false">IF(D18&lt;=$B$23,$B$4+D18-1,"")</f>
        <v>46339</v>
      </c>
      <c r="F18" s="10" t="n">
        <f aca="false">$B$24</f>
        <v>1950</v>
      </c>
      <c r="G18" s="6"/>
      <c r="H18" s="11"/>
      <c r="I18" s="12" t="str">
        <f aca="false">IF(OR(E18="",G18=""),"",F18-G18)</f>
        <v/>
      </c>
      <c r="J18" s="10" t="n">
        <f aca="false">$B$20+SUM($I$6:I18)</f>
        <v>14150</v>
      </c>
      <c r="K18" s="10" t="n">
        <f aca="false">SUM($G$6:G18)</f>
        <v>16450</v>
      </c>
      <c r="L18" s="13" t="str">
        <f aca="false">IF(E18="","",IF(OR(D18=1,G18&lt;&gt;"",G17&lt;&gt;""),($B$22-SUM($G$5:G17))/($B$23-D18+1),""))</f>
        <v/>
      </c>
    </row>
    <row r="19" customFormat="false" ht="15" hidden="false" customHeight="false" outlineLevel="0" collapsed="false">
      <c r="D19" s="8" t="n">
        <v>14</v>
      </c>
      <c r="E19" s="9" t="n">
        <f aca="false">IF(D19&lt;=$B$23,$B$4+D19-1,"")</f>
        <v>46340</v>
      </c>
      <c r="F19" s="10" t="n">
        <f aca="false">$B$24</f>
        <v>1950</v>
      </c>
      <c r="G19" s="6"/>
      <c r="H19" s="11"/>
      <c r="I19" s="12" t="str">
        <f aca="false">IF(OR(E19="",G19=""),"",F19-G19)</f>
        <v/>
      </c>
      <c r="J19" s="10" t="n">
        <f aca="false">$B$20+SUM($I$6:I19)</f>
        <v>14150</v>
      </c>
      <c r="K19" s="10" t="n">
        <f aca="false">SUM($G$6:G19)</f>
        <v>16450</v>
      </c>
      <c r="L19" s="13" t="str">
        <f aca="false">IF(E19="","",IF(OR(D19=1,G19&lt;&gt;"",G18&lt;&gt;""),($B$22-SUM($G$5:G18))/($B$23-D19+1),""))</f>
        <v/>
      </c>
    </row>
    <row r="20" customFormat="false" ht="15" hidden="false" customHeight="false" outlineLevel="0" collapsed="false">
      <c r="A20" s="3" t="s">
        <v>31</v>
      </c>
      <c r="B20" s="6" t="n">
        <v>15000</v>
      </c>
      <c r="D20" s="8" t="n">
        <v>15</v>
      </c>
      <c r="E20" s="9" t="n">
        <f aca="false">IF(D20&lt;=$B$23,$B$4+D20-1,"")</f>
        <v>46341</v>
      </c>
      <c r="F20" s="10" t="n">
        <f aca="false">$B$24</f>
        <v>1950</v>
      </c>
      <c r="G20" s="6"/>
      <c r="H20" s="11"/>
      <c r="I20" s="12" t="str">
        <f aca="false">IF(OR(E20="",G20=""),"",F20-G20)</f>
        <v/>
      </c>
      <c r="J20" s="10" t="n">
        <f aca="false">$B$20+SUM($I$6:I20)</f>
        <v>14150</v>
      </c>
      <c r="K20" s="10" t="n">
        <f aca="false">SUM($G$6:G20)</f>
        <v>16450</v>
      </c>
      <c r="L20" s="13" t="str">
        <f aca="false">IF(E20="","",IF(OR(D20=1,G20&lt;&gt;"",G19&lt;&gt;""),($B$22-SUM($G$5:G19))/($B$23-D20+1),""))</f>
        <v/>
      </c>
    </row>
    <row r="21" customFormat="false" ht="15" hidden="false" customHeight="false" outlineLevel="0" collapsed="false">
      <c r="D21" s="8" t="n">
        <v>16</v>
      </c>
      <c r="E21" s="9" t="n">
        <f aca="false">IF(D21&lt;=$B$23,$B$4+D21-1,"")</f>
        <v>46342</v>
      </c>
      <c r="F21" s="10" t="n">
        <f aca="false">$B$24</f>
        <v>1950</v>
      </c>
      <c r="G21" s="6"/>
      <c r="H21" s="11"/>
      <c r="I21" s="12" t="str">
        <f aca="false">IF(OR(E21="",G21=""),"",F21-G21)</f>
        <v/>
      </c>
      <c r="J21" s="10" t="n">
        <f aca="false">$B$20+SUM($I$6:I21)</f>
        <v>14150</v>
      </c>
      <c r="K21" s="10" t="n">
        <f aca="false">SUM($G$6:G21)</f>
        <v>16450</v>
      </c>
      <c r="L21" s="13" t="str">
        <f aca="false">IF(E21="","",IF(OR(D21=1,G21&lt;&gt;"",G20&lt;&gt;""),($B$22-SUM($G$5:G20))/($B$23-D21+1),""))</f>
        <v/>
      </c>
    </row>
    <row r="22" customFormat="false" ht="15" hidden="false" customHeight="false" outlineLevel="0" collapsed="false">
      <c r="A22" s="18" t="s">
        <v>32</v>
      </c>
      <c r="B22" s="13" t="n">
        <f aca="false">B5-B18-B20</f>
        <v>58500</v>
      </c>
      <c r="D22" s="8" t="n">
        <v>17</v>
      </c>
      <c r="E22" s="9" t="n">
        <f aca="false">IF(D22&lt;=$B$23,$B$4+D22-1,"")</f>
        <v>46343</v>
      </c>
      <c r="F22" s="10" t="n">
        <f aca="false">$B$24</f>
        <v>1950</v>
      </c>
      <c r="G22" s="6"/>
      <c r="H22" s="11"/>
      <c r="I22" s="12" t="str">
        <f aca="false">IF(OR(E22="",G22=""),"",F22-G22)</f>
        <v/>
      </c>
      <c r="J22" s="10" t="n">
        <f aca="false">$B$20+SUM($I$6:I22)</f>
        <v>14150</v>
      </c>
      <c r="K22" s="10" t="n">
        <f aca="false">SUM($G$6:G22)</f>
        <v>16450</v>
      </c>
      <c r="L22" s="13" t="str">
        <f aca="false">IF(E22="","",IF(OR(D22=1,G22&lt;&gt;"",G21&lt;&gt;""),($B$22-SUM($G$5:G21))/($B$23-D22+1),""))</f>
        <v/>
      </c>
    </row>
    <row r="23" customFormat="false" ht="15" hidden="false" customHeight="false" outlineLevel="0" collapsed="false">
      <c r="A23" s="19" t="s">
        <v>33</v>
      </c>
      <c r="B23" s="20" t="n">
        <f aca="false">DAY(DATE(YEAR(B4),MONTH(B4)+1,1)-1)</f>
        <v>30</v>
      </c>
      <c r="D23" s="8" t="n">
        <v>18</v>
      </c>
      <c r="E23" s="9" t="n">
        <f aca="false">IF(D23&lt;=$B$23,$B$4+D23-1,"")</f>
        <v>46344</v>
      </c>
      <c r="F23" s="10" t="n">
        <f aca="false">$B$24</f>
        <v>1950</v>
      </c>
      <c r="G23" s="6"/>
      <c r="H23" s="11"/>
      <c r="I23" s="12" t="str">
        <f aca="false">IF(OR(E23="",G23=""),"",F23-G23)</f>
        <v/>
      </c>
      <c r="J23" s="10" t="n">
        <f aca="false">$B$20+SUM($I$6:I23)</f>
        <v>14150</v>
      </c>
      <c r="K23" s="10" t="n">
        <f aca="false">SUM($G$6:G23)</f>
        <v>16450</v>
      </c>
      <c r="L23" s="13" t="str">
        <f aca="false">IF(E23="","",IF(OR(D23=1,G23&lt;&gt;"",G22&lt;&gt;""),($B$22-SUM($G$5:G22))/($B$23-D23+1),""))</f>
        <v/>
      </c>
    </row>
    <row r="24" customFormat="false" ht="15" hidden="false" customHeight="false" outlineLevel="0" collapsed="false">
      <c r="A24" s="18" t="s">
        <v>34</v>
      </c>
      <c r="B24" s="13" t="n">
        <f aca="false">B22/B23</f>
        <v>1950</v>
      </c>
      <c r="D24" s="8" t="n">
        <v>19</v>
      </c>
      <c r="E24" s="9" t="n">
        <f aca="false">IF(D24&lt;=$B$23,$B$4+D24-1,"")</f>
        <v>46345</v>
      </c>
      <c r="F24" s="10" t="n">
        <f aca="false">$B$24</f>
        <v>1950</v>
      </c>
      <c r="G24" s="6"/>
      <c r="H24" s="11"/>
      <c r="I24" s="12" t="str">
        <f aca="false">IF(OR(E24="",G24=""),"",F24-G24)</f>
        <v/>
      </c>
      <c r="J24" s="10" t="n">
        <f aca="false">$B$20+SUM($I$6:I24)</f>
        <v>14150</v>
      </c>
      <c r="K24" s="10" t="n">
        <f aca="false">SUM($G$6:G24)</f>
        <v>16450</v>
      </c>
      <c r="L24" s="13" t="str">
        <f aca="false">IF(E24="","",IF(OR(D24=1,G24&lt;&gt;"",G23&lt;&gt;""),($B$22-SUM($G$5:G23))/($B$23-D24+1),""))</f>
        <v/>
      </c>
    </row>
    <row r="25" customFormat="false" ht="15" hidden="false" customHeight="false" outlineLevel="0" collapsed="false">
      <c r="D25" s="8" t="n">
        <v>20</v>
      </c>
      <c r="E25" s="9" t="n">
        <f aca="false">IF(D25&lt;=$B$23,$B$4+D25-1,"")</f>
        <v>46346</v>
      </c>
      <c r="F25" s="10" t="n">
        <f aca="false">$B$24</f>
        <v>1950</v>
      </c>
      <c r="G25" s="6"/>
      <c r="H25" s="11"/>
      <c r="I25" s="12" t="str">
        <f aca="false">IF(OR(E25="",G25=""),"",F25-G25)</f>
        <v/>
      </c>
      <c r="J25" s="10" t="n">
        <f aca="false">$B$20+SUM($I$6:I25)</f>
        <v>14150</v>
      </c>
      <c r="K25" s="10" t="n">
        <f aca="false">SUM($G$6:G25)</f>
        <v>16450</v>
      </c>
      <c r="L25" s="13" t="str">
        <f aca="false">IF(E25="","",IF(OR(D25=1,G25&lt;&gt;"",G24&lt;&gt;""),($B$22-SUM($G$5:G24))/($B$23-D25+1),""))</f>
        <v/>
      </c>
    </row>
    <row r="26" customFormat="false" ht="15" hidden="false" customHeight="false" outlineLevel="0" collapsed="false">
      <c r="A26" s="14" t="s">
        <v>35</v>
      </c>
      <c r="B26" s="14"/>
      <c r="D26" s="8" t="n">
        <v>21</v>
      </c>
      <c r="E26" s="9" t="n">
        <f aca="false">IF(D26&lt;=$B$23,$B$4+D26-1,"")</f>
        <v>46347</v>
      </c>
      <c r="F26" s="10" t="n">
        <f aca="false">$B$24</f>
        <v>1950</v>
      </c>
      <c r="G26" s="6"/>
      <c r="H26" s="11"/>
      <c r="I26" s="12" t="str">
        <f aca="false">IF(OR(E26="",G26=""),"",F26-G26)</f>
        <v/>
      </c>
      <c r="J26" s="10" t="n">
        <f aca="false">$B$20+SUM($I$6:I26)</f>
        <v>14150</v>
      </c>
      <c r="K26" s="10" t="n">
        <f aca="false">SUM($G$6:G26)</f>
        <v>16450</v>
      </c>
      <c r="L26" s="13" t="str">
        <f aca="false">IF(E26="","",IF(OR(D26=1,G26&lt;&gt;"",G25&lt;&gt;""),($B$22-SUM($G$5:G25))/($B$23-D26+1),""))</f>
        <v/>
      </c>
    </row>
    <row r="27" customFormat="false" ht="15" hidden="false" customHeight="false" outlineLevel="0" collapsed="false">
      <c r="A27" s="19" t="s">
        <v>36</v>
      </c>
      <c r="B27" s="10" t="n">
        <f aca="false">SUM(G6:G36)</f>
        <v>16450</v>
      </c>
      <c r="D27" s="8" t="n">
        <v>22</v>
      </c>
      <c r="E27" s="9" t="n">
        <f aca="false">IF(D27&lt;=$B$23,$B$4+D27-1,"")</f>
        <v>46348</v>
      </c>
      <c r="F27" s="10" t="n">
        <f aca="false">$B$24</f>
        <v>1950</v>
      </c>
      <c r="G27" s="6"/>
      <c r="H27" s="11"/>
      <c r="I27" s="12" t="str">
        <f aca="false">IF(OR(E27="",G27=""),"",F27-G27)</f>
        <v/>
      </c>
      <c r="J27" s="10" t="n">
        <f aca="false">$B$20+SUM($I$6:I27)</f>
        <v>14150</v>
      </c>
      <c r="K27" s="10" t="n">
        <f aca="false">SUM($G$6:G27)</f>
        <v>16450</v>
      </c>
      <c r="L27" s="13" t="str">
        <f aca="false">IF(E27="","",IF(OR(D27=1,G27&lt;&gt;"",G26&lt;&gt;""),($B$22-SUM($G$5:G26))/($B$23-D27+1),""))</f>
        <v/>
      </c>
    </row>
    <row r="28" customFormat="false" ht="15" hidden="false" customHeight="false" outlineLevel="0" collapsed="false">
      <c r="A28" s="19" t="s">
        <v>37</v>
      </c>
      <c r="B28" s="20" t="n">
        <f aca="false">COUNT(G6:G36)</f>
        <v>8</v>
      </c>
      <c r="D28" s="8" t="n">
        <v>23</v>
      </c>
      <c r="E28" s="9" t="n">
        <f aca="false">IF(D28&lt;=$B$23,$B$4+D28-1,"")</f>
        <v>46349</v>
      </c>
      <c r="F28" s="10" t="n">
        <f aca="false">$B$24</f>
        <v>1950</v>
      </c>
      <c r="G28" s="6"/>
      <c r="H28" s="11"/>
      <c r="I28" s="12" t="str">
        <f aca="false">IF(OR(E28="",G28=""),"",F28-G28)</f>
        <v/>
      </c>
      <c r="J28" s="10" t="n">
        <f aca="false">$B$20+SUM($I$6:I28)</f>
        <v>14150</v>
      </c>
      <c r="K28" s="10" t="n">
        <f aca="false">SUM($G$6:G28)</f>
        <v>16450</v>
      </c>
      <c r="L28" s="13" t="str">
        <f aca="false">IF(E28="","",IF(OR(D28=1,G28&lt;&gt;"",G27&lt;&gt;""),($B$22-SUM($G$5:G27))/($B$23-D28+1),""))</f>
        <v/>
      </c>
    </row>
    <row r="29" customFormat="false" ht="15" hidden="false" customHeight="false" outlineLevel="0" collapsed="false">
      <c r="A29" s="19" t="s">
        <v>38</v>
      </c>
      <c r="B29" s="10" t="n">
        <f aca="false">SUM(I6:I36)</f>
        <v>-850</v>
      </c>
      <c r="D29" s="8" t="n">
        <v>24</v>
      </c>
      <c r="E29" s="9" t="n">
        <f aca="false">IF(D29&lt;=$B$23,$B$4+D29-1,"")</f>
        <v>46350</v>
      </c>
      <c r="F29" s="10" t="n">
        <f aca="false">$B$24</f>
        <v>1950</v>
      </c>
      <c r="G29" s="6"/>
      <c r="H29" s="11"/>
      <c r="I29" s="12" t="str">
        <f aca="false">IF(OR(E29="",G29=""),"",F29-G29)</f>
        <v/>
      </c>
      <c r="J29" s="10" t="n">
        <f aca="false">$B$20+SUM($I$6:I29)</f>
        <v>14150</v>
      </c>
      <c r="K29" s="10" t="n">
        <f aca="false">SUM($G$6:G29)</f>
        <v>16450</v>
      </c>
      <c r="L29" s="13" t="str">
        <f aca="false">IF(E29="","",IF(OR(D29=1,G29&lt;&gt;"",G28&lt;&gt;""),($B$22-SUM($G$5:G28))/($B$23-D29+1),""))</f>
        <v/>
      </c>
    </row>
    <row r="30" customFormat="false" ht="15" hidden="false" customHeight="false" outlineLevel="0" collapsed="false">
      <c r="A30" s="16" t="s">
        <v>39</v>
      </c>
      <c r="B30" s="17" t="n">
        <f aca="false">B20+B29</f>
        <v>14150</v>
      </c>
      <c r="D30" s="8" t="n">
        <v>25</v>
      </c>
      <c r="E30" s="9" t="n">
        <f aca="false">IF(D30&lt;=$B$23,$B$4+D30-1,"")</f>
        <v>46351</v>
      </c>
      <c r="F30" s="10" t="n">
        <f aca="false">$B$24</f>
        <v>1950</v>
      </c>
      <c r="G30" s="6"/>
      <c r="H30" s="11"/>
      <c r="I30" s="12" t="str">
        <f aca="false">IF(OR(E30="",G30=""),"",F30-G30)</f>
        <v/>
      </c>
      <c r="J30" s="10" t="n">
        <f aca="false">$B$20+SUM($I$6:I30)</f>
        <v>14150</v>
      </c>
      <c r="K30" s="10" t="n">
        <f aca="false">SUM($G$6:G30)</f>
        <v>16450</v>
      </c>
      <c r="L30" s="13" t="str">
        <f aca="false">IF(E30="","",IF(OR(D30=1,G30&lt;&gt;"",G29&lt;&gt;""),($B$22-SUM($G$5:G29))/($B$23-D30+1),""))</f>
        <v/>
      </c>
    </row>
    <row r="31" customFormat="false" ht="15" hidden="false" customHeight="false" outlineLevel="0" collapsed="false">
      <c r="A31" s="19" t="s">
        <v>40</v>
      </c>
      <c r="B31" s="21" t="n">
        <f aca="false">IF(B5=0,0,B30/B5)</f>
        <v>0.104814814814815</v>
      </c>
      <c r="D31" s="8" t="n">
        <v>26</v>
      </c>
      <c r="E31" s="9" t="n">
        <f aca="false">IF(D31&lt;=$B$23,$B$4+D31-1,"")</f>
        <v>46352</v>
      </c>
      <c r="F31" s="10" t="n">
        <f aca="false">$B$24</f>
        <v>1950</v>
      </c>
      <c r="G31" s="6"/>
      <c r="H31" s="11"/>
      <c r="I31" s="12" t="str">
        <f aca="false">IF(OR(E31="",G31=""),"",F31-G31)</f>
        <v/>
      </c>
      <c r="J31" s="10" t="n">
        <f aca="false">$B$20+SUM($I$6:I31)</f>
        <v>14150</v>
      </c>
      <c r="K31" s="10" t="n">
        <f aca="false">SUM($G$6:G31)</f>
        <v>16450</v>
      </c>
      <c r="L31" s="13" t="str">
        <f aca="false">IF(E31="","",IF(OR(D31=1,G31&lt;&gt;"",G30&lt;&gt;""),($B$22-SUM($G$5:G30))/($B$23-D31+1),""))</f>
        <v/>
      </c>
    </row>
    <row r="32" customFormat="false" ht="15" hidden="false" customHeight="false" outlineLevel="0" collapsed="false">
      <c r="D32" s="8" t="n">
        <v>27</v>
      </c>
      <c r="E32" s="9" t="n">
        <f aca="false">IF(D32&lt;=$B$23,$B$4+D32-1,"")</f>
        <v>46353</v>
      </c>
      <c r="F32" s="10" t="n">
        <f aca="false">$B$24</f>
        <v>1950</v>
      </c>
      <c r="G32" s="6"/>
      <c r="H32" s="11"/>
      <c r="I32" s="12" t="str">
        <f aca="false">IF(OR(E32="",G32=""),"",F32-G32)</f>
        <v/>
      </c>
      <c r="J32" s="10" t="n">
        <f aca="false">$B$20+SUM($I$6:I32)</f>
        <v>14150</v>
      </c>
      <c r="K32" s="10" t="n">
        <f aca="false">SUM($G$6:G32)</f>
        <v>16450</v>
      </c>
      <c r="L32" s="13" t="str">
        <f aca="false">IF(E32="","",IF(OR(D32=1,G32&lt;&gt;"",G31&lt;&gt;""),($B$22-SUM($G$5:G31))/($B$23-D32+1),""))</f>
        <v/>
      </c>
    </row>
    <row r="33" customFormat="false" ht="15" hidden="false" customHeight="false" outlineLevel="0" collapsed="false">
      <c r="A33" s="22" t="s">
        <v>41</v>
      </c>
      <c r="D33" s="8" t="n">
        <v>28</v>
      </c>
      <c r="E33" s="9" t="n">
        <f aca="false">IF(D33&lt;=$B$23,$B$4+D33-1,"")</f>
        <v>46354</v>
      </c>
      <c r="F33" s="10" t="n">
        <f aca="false">$B$24</f>
        <v>1950</v>
      </c>
      <c r="G33" s="6"/>
      <c r="H33" s="11"/>
      <c r="I33" s="12" t="str">
        <f aca="false">IF(OR(E33="",G33=""),"",F33-G33)</f>
        <v/>
      </c>
      <c r="J33" s="10" t="n">
        <f aca="false">$B$20+SUM($I$6:I33)</f>
        <v>14150</v>
      </c>
      <c r="K33" s="10" t="n">
        <f aca="false">SUM($G$6:G33)</f>
        <v>16450</v>
      </c>
      <c r="L33" s="13" t="str">
        <f aca="false">IF(E33="","",IF(OR(D33=1,G33&lt;&gt;"",G32&lt;&gt;""),($B$22-SUM($G$5:G32))/($B$23-D33+1),""))</f>
        <v/>
      </c>
    </row>
    <row r="34" customFormat="false" ht="15" hidden="false" customHeight="false" outlineLevel="0" collapsed="false">
      <c r="A34" s="23" t="s">
        <v>42</v>
      </c>
      <c r="D34" s="8" t="n">
        <v>29</v>
      </c>
      <c r="E34" s="9" t="n">
        <f aca="false">IF(D34&lt;=$B$23,$B$4+D34-1,"")</f>
        <v>46355</v>
      </c>
      <c r="F34" s="10" t="n">
        <f aca="false">$B$24</f>
        <v>1950</v>
      </c>
      <c r="G34" s="6"/>
      <c r="H34" s="11"/>
      <c r="I34" s="12" t="str">
        <f aca="false">IF(OR(E34="",G34=""),"",F34-G34)</f>
        <v/>
      </c>
      <c r="J34" s="10" t="n">
        <f aca="false">$B$20+SUM($I$6:I34)</f>
        <v>14150</v>
      </c>
      <c r="K34" s="10" t="n">
        <f aca="false">SUM($G$6:G34)</f>
        <v>16450</v>
      </c>
      <c r="L34" s="13" t="str">
        <f aca="false">IF(E34="","",IF(OR(D34=1,G34&lt;&gt;"",G33&lt;&gt;""),($B$22-SUM($G$5:G33))/($B$23-D34+1),""))</f>
        <v/>
      </c>
    </row>
    <row r="35" customFormat="false" ht="15" hidden="false" customHeight="false" outlineLevel="0" collapsed="false">
      <c r="A35" s="23" t="s">
        <v>43</v>
      </c>
      <c r="D35" s="8" t="n">
        <v>30</v>
      </c>
      <c r="E35" s="9" t="n">
        <f aca="false">IF(D35&lt;=$B$23,$B$4+D35-1,"")</f>
        <v>46356</v>
      </c>
      <c r="F35" s="10" t="n">
        <f aca="false">$B$24</f>
        <v>1950</v>
      </c>
      <c r="G35" s="6"/>
      <c r="H35" s="11"/>
      <c r="I35" s="12" t="str">
        <f aca="false">IF(OR(E35="",G35=""),"",F35-G35)</f>
        <v/>
      </c>
      <c r="J35" s="10" t="n">
        <f aca="false">$B$20+SUM($I$6:I35)</f>
        <v>14150</v>
      </c>
      <c r="K35" s="10" t="n">
        <f aca="false">SUM($G$6:G35)</f>
        <v>16450</v>
      </c>
      <c r="L35" s="13" t="str">
        <f aca="false">IF(E35="","",IF(OR(D35=1,G35&lt;&gt;"",G34&lt;&gt;""),($B$22-SUM($G$5:G34))/($B$23-D35+1),""))</f>
        <v/>
      </c>
    </row>
    <row r="36" customFormat="false" ht="15" hidden="false" customHeight="false" outlineLevel="0" collapsed="false">
      <c r="A36" s="23" t="s">
        <v>44</v>
      </c>
      <c r="D36" s="8" t="n">
        <v>31</v>
      </c>
      <c r="E36" s="9" t="str">
        <f aca="false">IF(D36&lt;=$B$23,$B$4+D36-1,"")</f>
        <v/>
      </c>
      <c r="F36" s="10" t="n">
        <f aca="false">$B$24</f>
        <v>1950</v>
      </c>
      <c r="G36" s="6"/>
      <c r="H36" s="11"/>
      <c r="I36" s="12" t="str">
        <f aca="false">IF(OR(E36="",G36=""),"",F36-G36)</f>
        <v/>
      </c>
      <c r="J36" s="10" t="n">
        <f aca="false">$B$20+SUM($I$6:I36)</f>
        <v>14150</v>
      </c>
      <c r="K36" s="10" t="n">
        <f aca="false">SUM($G$6:G36)</f>
        <v>16450</v>
      </c>
      <c r="L36" s="13" t="str">
        <f aca="false">IF(E36="","",IF(OR(D36=1,G36&lt;&gt;"",G35&lt;&gt;""),($B$22-SUM($G$5:G35))/($B$23-D36+1),""))</f>
        <v/>
      </c>
    </row>
    <row r="37" customFormat="false" ht="15" hidden="false" customHeight="false" outlineLevel="0" collapsed="false">
      <c r="A37" s="23" t="s">
        <v>45</v>
      </c>
      <c r="D37" s="16" t="s">
        <v>46</v>
      </c>
      <c r="E37" s="16"/>
      <c r="F37" s="17" t="n">
        <f aca="false">B22</f>
        <v>58500</v>
      </c>
      <c r="G37" s="17" t="n">
        <f aca="false">SUM(G6:G36)</f>
        <v>16450</v>
      </c>
      <c r="H37" s="16"/>
      <c r="I37" s="17" t="n">
        <f aca="false">SUM(I6:I36)</f>
        <v>-850</v>
      </c>
      <c r="J37" s="17" t="n">
        <f aca="false">B30</f>
        <v>14150</v>
      </c>
      <c r="K37" s="17" t="n">
        <f aca="false">G37</f>
        <v>16450</v>
      </c>
      <c r="L37" s="16"/>
    </row>
    <row r="38" customFormat="false" ht="15" hidden="false" customHeight="false" outlineLevel="0" collapsed="false">
      <c r="A38" s="23" t="s">
        <v>47</v>
      </c>
    </row>
    <row r="39" customFormat="false" ht="15" hidden="false" customHeight="false" outlineLevel="0" collapsed="false">
      <c r="A39" s="23" t="s">
        <v>48</v>
      </c>
    </row>
    <row r="40" customFormat="false" ht="15" hidden="false" customHeight="false" outlineLevel="0" collapsed="false">
      <c r="A40" s="14" t="s">
        <v>49</v>
      </c>
      <c r="B40" s="7" t="s">
        <v>50</v>
      </c>
    </row>
    <row r="41" customFormat="false" ht="15" hidden="false" customHeight="false" outlineLevel="0" collapsed="false">
      <c r="A41" s="19" t="s">
        <v>15</v>
      </c>
      <c r="B41" s="10" t="n">
        <f aca="false">B18</f>
        <v>61500</v>
      </c>
    </row>
    <row r="42" customFormat="false" ht="15" hidden="false" customHeight="false" outlineLevel="0" collapsed="false">
      <c r="A42" s="19" t="s">
        <v>51</v>
      </c>
      <c r="B42" s="10" t="n">
        <f aca="false">B20</f>
        <v>15000</v>
      </c>
    </row>
    <row r="43" customFormat="false" ht="15" hidden="false" customHeight="false" outlineLevel="0" collapsed="false">
      <c r="A43" s="19" t="s">
        <v>52</v>
      </c>
      <c r="B43" s="10" t="n">
        <f aca="false">MAX(0,B22)</f>
        <v>58500</v>
      </c>
    </row>
  </sheetData>
  <conditionalFormatting sqref="D6:L36">
    <cfRule type="expression" priority="2" aboveAverage="0" equalAverage="0" bottom="0" percent="0" rank="0" text="" dxfId="0">
      <formula>$E6=""</formula>
    </cfRule>
  </conditionalFormatting>
  <conditionalFormatting sqref="I6:I36">
    <cfRule type="expression" priority="3" aboveAverage="0" equalAverage="0" bottom="0" percent="0" rank="0" text="" dxfId="1">
      <formula>AND(ISNUMBER($I6),$I6&lt;0)</formula>
    </cfRule>
    <cfRule type="expression" priority="4" aboveAverage="0" equalAverage="0" bottom="0" percent="0" rank="0" text="" dxfId="2">
      <formula>AND(ISNUMBER($I6),$I6&gt;0)</formula>
    </cfRule>
  </conditionalFormatting>
  <conditionalFormatting sqref="B22">
    <cfRule type="expression" priority="5" aboveAverage="0" equalAverage="0" bottom="0" percent="0" rank="0" text="" dxfId="1">
      <formula>$B$22&lt;0</formula>
    </cfRule>
  </conditionalFormatting>
  <dataValidations count="1">
    <dataValidation allowBlank="true" error="Введите число не меньше нуля." errorStyle="stop" errorTitle="Сумма" operator="greaterThanOrEqual" showDropDown="false" showErrorMessage="true" showInputMessage="false" sqref="G6:G3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2026-10-28T20:48:42Z</dcterms:created>
  <dc:creator>openpyxl</dc:creator>
  <dc:description/>
  <dc:language>en-US</dc:language>
  <cp:lastModifiedBy/>
  <dcterms:modified xsi:type="dcterms:W3CDTF">2026-10-28T23:48:43Z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